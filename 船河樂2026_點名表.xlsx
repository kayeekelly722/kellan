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點名表" sheetId="1" state="visible" r:id="rId1"/>
    <sheet name="臨時加人" sheetId="2" state="visible" r:id="rId2"/>
    <sheet name="選項" sheetId="3" state="hidden" r:id="rId3"/>
  </sheets>
  <definedNames>
    <definedName name="點名選項">選項!$A$1:$A$2</definedName>
    <definedName name="_xlnm.Print_Titles" localSheetId="0">'點名表'!$1:$6</definedName>
    <definedName name="_xlnm.Print_Area" localSheetId="0">'點名表'!$A$1:$O$28</definedName>
    <definedName name="_xlnm.Print_Area" localSheetId="1">'臨時加人'!$A$1:$F$16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Microsoft JhengHei"/>
      <b val="1"/>
      <color rgb="00FFFFFF"/>
      <sz val="22"/>
    </font>
    <font>
      <name val="Microsoft JhengHei"/>
      <color rgb="00EAF2F8"/>
      <sz val="11"/>
    </font>
    <font>
      <name val="Microsoft JhengHei"/>
      <b val="1"/>
      <color rgb="001B4F72"/>
      <sz val="10"/>
    </font>
    <font>
      <name val="Microsoft JhengHei"/>
      <color rgb="001C2833"/>
      <sz val="12"/>
    </font>
    <font>
      <name val="Microsoft JhengHei"/>
      <b val="1"/>
      <color rgb="00FFFFFF"/>
      <sz val="9"/>
    </font>
    <font>
      <name val="Microsoft JhengHei"/>
      <b val="1"/>
      <color rgb="00FFFFFF"/>
      <sz val="20"/>
    </font>
    <font>
      <name val="Microsoft JhengHei"/>
      <b val="1"/>
      <color rgb="00FFFFFF"/>
      <sz val="11"/>
    </font>
    <font>
      <name val="Segoe UI Symbol"/>
      <b val="1"/>
      <color rgb="00FFFFFF"/>
      <sz val="13"/>
    </font>
    <font>
      <name val="Microsoft JhengHei"/>
      <b val="1"/>
      <color rgb="001B4F72"/>
      <sz val="12"/>
    </font>
    <font>
      <name val="Microsoft JhengHei"/>
      <b val="1"/>
      <color rgb="001C2833"/>
      <sz val="13"/>
    </font>
    <font>
      <name val="Microsoft JhengHei"/>
      <b val="1"/>
      <color rgb="001C2833"/>
      <sz val="12"/>
    </font>
    <font>
      <name val="Segoe UI Symbol"/>
      <color rgb="006B5A1E"/>
      <sz val="16"/>
    </font>
    <font>
      <name val="Microsoft JhengHei"/>
      <b val="1"/>
      <color rgb="000E6655"/>
      <sz val="12"/>
    </font>
    <font>
      <name val="Microsoft JhengHei"/>
      <b val="1"/>
      <color rgb="005D6D7E"/>
      <sz val="11"/>
    </font>
    <font>
      <name val="Microsoft JhengHei"/>
      <color rgb="001C2833"/>
      <sz val="11"/>
    </font>
    <font>
      <name val="Segoe UI Symbol"/>
      <color rgb="00B0B8C1"/>
      <sz val="12"/>
    </font>
    <font>
      <name val="Microsoft JhengHei"/>
      <b val="1"/>
      <color rgb="00FFFFFF"/>
      <sz val="12"/>
    </font>
    <font>
      <name val="Microsoft JhengHei"/>
      <color rgb="006B5A1E"/>
      <sz val="11"/>
    </font>
  </fonts>
  <fills count="15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154360"/>
      </patternFill>
    </fill>
    <fill>
      <patternFill patternType="solid">
        <fgColor rgb="00F8F1DE"/>
      </patternFill>
    </fill>
    <fill>
      <patternFill patternType="solid">
        <fgColor rgb="00FFFFFF"/>
      </patternFill>
    </fill>
    <fill>
      <patternFill patternType="solid">
        <fgColor rgb="000E6655"/>
      </patternFill>
    </fill>
    <fill>
      <patternFill patternType="solid">
        <fgColor rgb="001A5276"/>
      </patternFill>
    </fill>
    <fill>
      <patternFill patternType="solid">
        <fgColor rgb="00148F77"/>
      </patternFill>
    </fill>
    <fill>
      <patternFill patternType="solid">
        <fgColor rgb="005D6D7E"/>
      </patternFill>
    </fill>
    <fill>
      <patternFill patternType="solid">
        <fgColor rgb="001A6A7D"/>
      </patternFill>
    </fill>
    <fill>
      <patternFill patternType="solid">
        <fgColor rgb="00FFF4CC"/>
      </patternFill>
    </fill>
    <fill>
      <patternFill patternType="solid">
        <fgColor rgb="00F7FBFD"/>
      </patternFill>
    </fill>
    <fill>
      <patternFill patternType="solid">
        <fgColor rgb="00EEF1F4"/>
      </patternFill>
    </fill>
    <fill>
      <patternFill patternType="solid">
        <fgColor rgb="00B7950B"/>
      </patternFill>
    </fill>
  </fills>
  <borders count="14">
    <border>
      <left/>
      <right/>
      <top/>
      <bottom/>
      <diagonal/>
    </border>
    <border>
      <left style="thin">
        <color rgb="001B4F72"/>
      </left>
      <right style="thin">
        <color rgb="001B4F72"/>
      </right>
      <top style="thin">
        <color rgb="001B4F72"/>
      </top>
      <bottom style="thin">
        <color rgb="001B4F72"/>
      </bottom>
    </border>
    <border>
      <left style="thin">
        <color rgb="00154360"/>
      </left>
      <right style="thin">
        <color rgb="00154360"/>
      </right>
      <top style="thin">
        <color rgb="00154360"/>
      </top>
      <bottom style="thin">
        <color rgb="00154360"/>
      </bottom>
    </border>
    <border>
      <left style="thin">
        <color rgb="00F8F1DE"/>
      </left>
      <right style="thin">
        <color rgb="00F8F1DE"/>
      </right>
      <top style="thin">
        <color rgb="00F8F1DE"/>
      </top>
      <bottom style="thin">
        <color rgb="00F8F1DE"/>
      </bottom>
    </border>
    <border>
      <left style="medium">
        <color rgb="001B4F72"/>
      </left>
      <right style="medium">
        <color rgb="001B4F72"/>
      </right>
      <top style="medium">
        <color rgb="001B4F72"/>
      </top>
      <bottom style="medium">
        <color rgb="001B4F72"/>
      </bottom>
    </border>
    <border>
      <left style="thin">
        <color rgb="000E6655"/>
      </left>
      <right style="thin">
        <color rgb="000E6655"/>
      </right>
      <top style="thin">
        <color rgb="000E6655"/>
      </top>
      <bottom style="thin">
        <color rgb="000E6655"/>
      </bottom>
    </border>
    <border>
      <left style="thin">
        <color rgb="001A5276"/>
      </left>
      <right style="thin">
        <color rgb="001A5276"/>
      </right>
      <top style="thin">
        <color rgb="001A5276"/>
      </top>
      <bottom style="thin">
        <color rgb="001A5276"/>
      </bottom>
    </border>
    <border>
      <left style="thin">
        <color rgb="00148F77"/>
      </left>
      <right style="thin">
        <color rgb="00148F77"/>
      </right>
      <top style="thin">
        <color rgb="00148F77"/>
      </top>
      <bottom style="thin">
        <color rgb="00148F77"/>
      </bottom>
    </border>
    <border>
      <left style="thin">
        <color rgb="005D6D7E"/>
      </left>
      <right style="thin">
        <color rgb="005D6D7E"/>
      </right>
      <top style="thin">
        <color rgb="005D6D7E"/>
      </top>
      <bottom style="thin">
        <color rgb="005D6D7E"/>
      </bottom>
    </border>
    <border>
      <left style="thin">
        <color rgb="00D5DDE5"/>
      </left>
      <right style="thin">
        <color rgb="00D5DDE5"/>
      </right>
      <top style="thin">
        <color rgb="00D5DDE5"/>
      </top>
      <bottom style="thin">
        <color rgb="00D5DDE5"/>
      </bottom>
    </border>
    <border>
      <left style="medium">
        <color rgb="00E1C56A"/>
      </left>
      <right style="medium">
        <color rgb="00E1C56A"/>
      </right>
      <top style="medium">
        <color rgb="00E1C56A"/>
      </top>
      <bottom style="medium">
        <color rgb="00E1C56A"/>
      </bottom>
    </border>
    <border>
      <left style="thin">
        <color rgb="00E1E6EA"/>
      </left>
      <right style="thin">
        <color rgb="00E1E6EA"/>
      </right>
      <top style="thin">
        <color rgb="00E1E6EA"/>
      </top>
      <bottom style="thin">
        <color rgb="00E1E6EA"/>
      </bottom>
    </border>
    <border>
      <left style="thin">
        <color rgb="00B7950B"/>
      </left>
      <right style="thin">
        <color rgb="00B7950B"/>
      </right>
      <top style="thin">
        <color rgb="00B7950B"/>
      </top>
      <bottom style="thin">
        <color rgb="00B7950B"/>
      </bottom>
    </border>
    <border>
      <left style="thin">
        <color rgb="00F3E3A8"/>
      </left>
      <right style="thin">
        <color rgb="00F3E3A8"/>
      </right>
      <top style="thin">
        <color rgb="00F3E3A8"/>
      </top>
      <bottom style="thin">
        <color rgb="00F3E3A8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4" fillId="5" borderId="4" applyAlignment="1" applyProtection="1" pivotButton="0" quotePrefix="0" xfId="0">
      <alignment horizontal="left" vertical="center" indent="1"/>
      <protection locked="0" hidden="0"/>
    </xf>
    <xf numFmtId="0" fontId="5" fillId="2" borderId="1" applyAlignment="1" pivotButton="0" quotePrefix="0" xfId="0">
      <alignment horizontal="center" vertical="center" wrapText="1"/>
    </xf>
    <xf numFmtId="0" fontId="5" fillId="6" borderId="5" applyAlignment="1" pivotButton="0" quotePrefix="0" xfId="0">
      <alignment horizontal="center" vertical="center" wrapText="1"/>
    </xf>
    <xf numFmtId="0" fontId="5" fillId="7" borderId="6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vertical="center" wrapText="1"/>
    </xf>
    <xf numFmtId="0" fontId="5" fillId="9" borderId="8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6" borderId="5" applyAlignment="1" pivotButton="0" quotePrefix="0" xfId="0">
      <alignment horizontal="center" vertical="center" wrapText="1"/>
    </xf>
    <xf numFmtId="0" fontId="6" fillId="7" borderId="6" applyAlignment="1" pivotButton="0" quotePrefix="0" xfId="0">
      <alignment horizontal="center" vertical="center" wrapText="1"/>
    </xf>
    <xf numFmtId="0" fontId="6" fillId="8" borderId="7" applyAlignment="1" pivotButton="0" quotePrefix="0" xfId="0">
      <alignment horizontal="center" vertical="center" wrapText="1"/>
    </xf>
    <xf numFmtId="0" fontId="6" fillId="9" borderId="8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5" borderId="9" applyAlignment="1" pivotButton="0" quotePrefix="0" xfId="0">
      <alignment horizontal="center" vertical="center" wrapText="1"/>
    </xf>
    <xf numFmtId="0" fontId="10" fillId="5" borderId="9" applyAlignment="1" applyProtection="1" pivotButton="0" quotePrefix="0" xfId="0">
      <alignment horizontal="left" vertical="center" indent="1"/>
      <protection locked="0" hidden="0"/>
    </xf>
    <xf numFmtId="1" fontId="11" fillId="5" borderId="9" applyAlignment="1" pivotButton="0" quotePrefix="0" xfId="0">
      <alignment horizontal="center" vertical="center" wrapText="1"/>
    </xf>
    <xf numFmtId="0" fontId="12" fillId="11" borderId="10" applyAlignment="1" applyProtection="1" pivotButton="0" quotePrefix="0" xfId="0">
      <alignment horizontal="center" vertical="center" wrapText="1"/>
      <protection locked="0" hidden="0"/>
    </xf>
    <xf numFmtId="1" fontId="13" fillId="5" borderId="9" applyAlignment="1" pivotButton="0" quotePrefix="0" xfId="0">
      <alignment horizontal="center" vertical="center" wrapText="1"/>
    </xf>
    <xf numFmtId="1" fontId="4" fillId="5" borderId="9" applyAlignment="1" pivotButton="0" quotePrefix="0" xfId="0">
      <alignment horizontal="center" vertical="center" wrapText="1"/>
    </xf>
    <xf numFmtId="0" fontId="14" fillId="5" borderId="9" applyAlignment="1" pivotButton="0" quotePrefix="0" xfId="0">
      <alignment horizontal="center" vertical="center" wrapText="1"/>
    </xf>
    <xf numFmtId="0" fontId="15" fillId="5" borderId="9" applyAlignment="1" applyProtection="1" pivotButton="0" quotePrefix="0" xfId="0">
      <alignment horizontal="left" vertical="center" indent="1"/>
      <protection locked="0" hidden="0"/>
    </xf>
    <xf numFmtId="0" fontId="9" fillId="12" borderId="9" applyAlignment="1" pivotButton="0" quotePrefix="0" xfId="0">
      <alignment horizontal="center" vertical="center" wrapText="1"/>
    </xf>
    <xf numFmtId="0" fontId="10" fillId="12" borderId="9" applyAlignment="1" applyProtection="1" pivotButton="0" quotePrefix="0" xfId="0">
      <alignment horizontal="left" vertical="center" indent="1"/>
      <protection locked="0" hidden="0"/>
    </xf>
    <xf numFmtId="1" fontId="11" fillId="12" borderId="9" applyAlignment="1" pivotButton="0" quotePrefix="0" xfId="0">
      <alignment horizontal="center" vertical="center" wrapText="1"/>
    </xf>
    <xf numFmtId="0" fontId="16" fillId="13" borderId="11" applyAlignment="1" pivotButton="0" quotePrefix="0" xfId="0">
      <alignment horizontal="center" vertical="center" wrapText="1"/>
    </xf>
    <xf numFmtId="1" fontId="13" fillId="12" borderId="9" applyAlignment="1" pivotButton="0" quotePrefix="0" xfId="0">
      <alignment horizontal="center" vertical="center" wrapText="1"/>
    </xf>
    <xf numFmtId="1" fontId="4" fillId="12" borderId="9" applyAlignment="1" pivotButton="0" quotePrefix="0" xfId="0">
      <alignment horizontal="center" vertical="center" wrapText="1"/>
    </xf>
    <xf numFmtId="0" fontId="14" fillId="12" borderId="9" applyAlignment="1" pivotButton="0" quotePrefix="0" xfId="0">
      <alignment horizontal="center" vertical="center" wrapText="1"/>
    </xf>
    <xf numFmtId="0" fontId="15" fillId="12" borderId="9" applyAlignment="1" applyProtection="1" pivotButton="0" quotePrefix="0" xfId="0">
      <alignment horizontal="left" vertical="center" indent="1"/>
      <protection locked="0" hidden="0"/>
    </xf>
    <xf numFmtId="0" fontId="17" fillId="2" borderId="1" applyAlignment="1" pivotButton="0" quotePrefix="0" xfId="0">
      <alignment horizontal="center" vertical="center" wrapText="1"/>
    </xf>
    <xf numFmtId="1" fontId="17" fillId="2" borderId="1" applyAlignment="1" pivotButton="0" quotePrefix="0" xfId="0">
      <alignment horizontal="center" vertical="center" wrapText="1"/>
    </xf>
    <xf numFmtId="0" fontId="6" fillId="14" borderId="12" applyAlignment="1" pivotButton="0" quotePrefix="0" xfId="0">
      <alignment horizontal="center" vertical="center" wrapText="1"/>
    </xf>
    <xf numFmtId="0" fontId="18" fillId="11" borderId="13" applyAlignment="1" pivotButton="0" quotePrefix="0" xfId="0">
      <alignment horizontal="center" vertical="center" wrapText="1"/>
    </xf>
    <xf numFmtId="0" fontId="4" fillId="5" borderId="9" applyAlignment="1" applyProtection="1" pivotButton="0" quotePrefix="0" xfId="0">
      <alignment horizontal="left" vertical="center" indent="1"/>
      <protection locked="0" hidden="0"/>
    </xf>
    <xf numFmtId="1" fontId="4" fillId="5" borderId="9" applyAlignment="1" applyProtection="1" pivotButton="0" quotePrefix="0" xfId="0">
      <alignment horizontal="center" vertical="center" wrapText="1"/>
      <protection locked="0" hidden="0"/>
    </xf>
    <xf numFmtId="1" fontId="13" fillId="5" borderId="9" applyAlignment="1" applyProtection="1" pivotButton="0" quotePrefix="0" xfId="0">
      <alignment horizontal="center" vertical="center" wrapText="1"/>
      <protection locked="0" hidden="0"/>
    </xf>
    <xf numFmtId="0" fontId="4" fillId="12" borderId="9" applyAlignment="1" applyProtection="1" pivotButton="0" quotePrefix="0" xfId="0">
      <alignment horizontal="left" vertical="center" indent="1"/>
      <protection locked="0" hidden="0"/>
    </xf>
    <xf numFmtId="1" fontId="4" fillId="12" borderId="9" applyAlignment="1" applyProtection="1" pivotButton="0" quotePrefix="0" xfId="0">
      <alignment horizontal="center" vertical="center" wrapText="1"/>
      <protection locked="0" hidden="0"/>
    </xf>
    <xf numFmtId="1" fontId="13" fillId="12" borderId="9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dxfs count="7">
    <dxf>
      <font>
        <name val="Microsoft JhengHei"/>
        <b val="1"/>
        <color rgb="00196F3D"/>
        <sz val="11"/>
      </font>
      <fill>
        <patternFill patternType="solid">
          <fgColor rgb="00E8F8F0"/>
        </patternFill>
      </fill>
    </dxf>
    <dxf>
      <font>
        <name val="Microsoft JhengHei"/>
        <b val="1"/>
        <color rgb="009A6B12"/>
        <sz val="11"/>
      </font>
      <fill>
        <patternFill patternType="solid">
          <fgColor rgb="00FEF6DD"/>
        </patternFill>
      </fill>
    </dxf>
    <dxf>
      <font>
        <name val="Microsoft JhengHei"/>
        <b val="1"/>
        <color rgb="00922B21"/>
        <sz val="11"/>
      </font>
      <fill>
        <patternFill patternType="solid">
          <fgColor rgb="00FDEDEC"/>
        </patternFill>
      </fill>
    </dxf>
    <dxf>
      <font>
        <name val="Segoe UI Symbol"/>
        <b val="1"/>
        <color rgb="00FFFFFF"/>
        <sz val="16"/>
      </font>
      <fill>
        <patternFill patternType="solid">
          <fgColor rgb="001E8449"/>
        </patternFill>
      </fill>
    </dxf>
    <dxf>
      <fill>
        <patternFill patternType="solid">
          <fgColor rgb="00FDEDEC"/>
        </patternFill>
      </fill>
    </dxf>
    <dxf>
      <fill>
        <patternFill patternType="solid">
          <fgColor rgb="00E8F8F0"/>
        </patternFill>
      </fill>
    </dxf>
    <dxf>
      <fill>
        <patternFill patternType="solid">
          <fgColor rgb="00FEF6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點名表</author>
  </authors>
  <commentList>
    <comment ref="C6" authorId="0" shapeId="0">
      <text>
        <t>人數已鎖定，與黃格數目一致。
名單以外的人請寫在「臨時加人」，不要改這裡。
如要解鎖：校閱 → 取消保護工作表（無密碼）。</t>
      </text>
    </comment>
    <comment ref="D6" authorId="0" shapeId="0">
      <text>
        <t>每到一位，在黃格選 ✓。
灰格代表該組沒有此人，不用填。
紙本列印後，直接在 □ 上打勾即可。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B4F72"/>
    <outlinePr summaryBelow="1" summaryRight="1"/>
    <pageSetUpPr fitToPage="1"/>
  </sheetPr>
  <dimension ref="A1:O28"/>
  <sheetViews>
    <sheetView showGridLines="0" view="normal" zoomScale="120" workbookViewId="0">
      <pane ySplit="6" topLeftCell="A7" activePane="bottomLeft" state="frozen"/>
      <selection pane="bottomLeft" activeCell="B3" sqref="B3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5.6" customWidth="1" min="4" max="4"/>
    <col width="5.6" customWidth="1" min="5" max="5"/>
    <col width="5.6" customWidth="1" min="6" max="6"/>
    <col width="5.6" customWidth="1" min="7" max="7"/>
    <col width="5.6" customWidth="1" min="8" max="8"/>
    <col width="5.6" customWidth="1" min="9" max="9"/>
    <col width="5.6" customWidth="1" min="10" max="10"/>
    <col width="5.6" customWidth="1" min="11" max="11"/>
    <col width="9" customWidth="1" min="12" max="12"/>
    <col width="9" customWidth="1" min="13" max="13"/>
    <col width="11" customWidth="1" min="14" max="14"/>
    <col width="28" customWidth="1" min="15" max="15"/>
  </cols>
  <sheetData>
    <row r="1" ht="34" customHeight="1">
      <c r="A1" s="1" t="inlineStr">
        <is>
          <t>船河樂2026    上船點名表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0" customHeight="1">
      <c r="A2" s="2" t="inlineStr">
        <is>
          <t>共 21 組  ·  51 位　　黃格選 ✓（紙本直接在 □ 上打勾）　　灰格不用填　　已到／未到／狀態會自動計算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8" customHeight="1">
      <c r="A3" s="3" t="inlineStr">
        <is>
          <t>日期</t>
        </is>
      </c>
      <c r="B3" s="4" t="n"/>
      <c r="C3" s="4" t="n"/>
      <c r="D3" s="3" t="inlineStr">
        <is>
          <t>時間</t>
        </is>
      </c>
      <c r="E3" s="3" t="n"/>
      <c r="F3" s="4" t="n"/>
      <c r="G3" s="4" t="n"/>
      <c r="H3" s="4" t="n"/>
      <c r="I3" s="3" t="inlineStr">
        <is>
          <t>負責人</t>
        </is>
      </c>
      <c r="J3" s="3" t="n"/>
      <c r="K3" s="4" t="n"/>
      <c r="L3" s="4" t="n"/>
      <c r="M3" s="3" t="inlineStr">
        <is>
          <t>地點</t>
        </is>
      </c>
      <c r="N3" s="4" t="n"/>
      <c r="O3" s="4" t="n"/>
    </row>
    <row r="4" ht="16" customHeight="1">
      <c r="A4" s="5" t="inlineStr">
        <is>
          <t>預計人數</t>
        </is>
      </c>
      <c r="B4" s="5" t="n"/>
      <c r="C4" s="5" t="n"/>
      <c r="D4" s="6" t="inlineStr">
        <is>
          <t>已到</t>
        </is>
      </c>
      <c r="E4" s="6" t="n"/>
      <c r="F4" s="6" t="n"/>
      <c r="G4" s="7" t="inlineStr">
        <is>
          <t>未到</t>
        </is>
      </c>
      <c r="H4" s="7" t="n"/>
      <c r="I4" s="7" t="n"/>
      <c r="J4" s="8" t="inlineStr">
        <is>
          <t>已齊組</t>
        </is>
      </c>
      <c r="K4" s="8" t="n"/>
      <c r="L4" s="8" t="n"/>
      <c r="M4" s="9" t="inlineStr">
        <is>
          <t>未齊組</t>
        </is>
      </c>
      <c r="N4" s="9" t="n"/>
      <c r="O4" s="9" t="n"/>
    </row>
    <row r="5" ht="28" customHeight="1">
      <c r="A5" s="10">
        <f>SUM(C7:C27)</f>
        <v/>
      </c>
      <c r="B5" s="10" t="n"/>
      <c r="C5" s="10" t="n"/>
      <c r="D5" s="11">
        <f>SUM(L7:L27)</f>
        <v/>
      </c>
      <c r="E5" s="11" t="n"/>
      <c r="F5" s="11" t="n"/>
      <c r="G5" s="12">
        <f>SUM(M7:M27)</f>
        <v/>
      </c>
      <c r="H5" s="12" t="n"/>
      <c r="I5" s="12" t="n"/>
      <c r="J5" s="13">
        <f>COUNTIF(N7:N27,"齊")&amp;"/21"</f>
        <v/>
      </c>
      <c r="K5" s="13" t="n"/>
      <c r="L5" s="13" t="n"/>
      <c r="M5" s="14">
        <f>COUNTIF(N7:N27,"&lt;&gt;齊")</f>
        <v/>
      </c>
      <c r="N5" s="14" t="n"/>
      <c r="O5" s="14" t="n"/>
    </row>
    <row r="6" ht="24" customHeight="1">
      <c r="A6" s="15" t="inlineStr">
        <is>
          <t>編號</t>
        </is>
      </c>
      <c r="B6" s="15" t="inlineStr">
        <is>
          <t>姓名</t>
        </is>
      </c>
      <c r="C6" s="15" t="inlineStr">
        <is>
          <t>人數</t>
        </is>
      </c>
      <c r="D6" s="16" t="inlineStr">
        <is>
          <t>①</t>
        </is>
      </c>
      <c r="E6" s="16" t="inlineStr">
        <is>
          <t>②</t>
        </is>
      </c>
      <c r="F6" s="16" t="inlineStr">
        <is>
          <t>③</t>
        </is>
      </c>
      <c r="G6" s="16" t="inlineStr">
        <is>
          <t>④</t>
        </is>
      </c>
      <c r="H6" s="16" t="inlineStr">
        <is>
          <t>⑤</t>
        </is>
      </c>
      <c r="I6" s="16" t="inlineStr">
        <is>
          <t>⑥</t>
        </is>
      </c>
      <c r="J6" s="16" t="inlineStr">
        <is>
          <t>⑦</t>
        </is>
      </c>
      <c r="K6" s="16" t="inlineStr">
        <is>
          <t>⑧</t>
        </is>
      </c>
      <c r="L6" s="15" t="inlineStr">
        <is>
          <t>已到</t>
        </is>
      </c>
      <c r="M6" s="15" t="inlineStr">
        <is>
          <t>未到</t>
        </is>
      </c>
      <c r="N6" s="15" t="inlineStr">
        <is>
          <t>狀態</t>
        </is>
      </c>
      <c r="O6" s="15" t="inlineStr">
        <is>
          <t>備註</t>
        </is>
      </c>
    </row>
    <row r="7" ht="22" customHeight="1">
      <c r="A7" s="17" t="n">
        <v>1</v>
      </c>
      <c r="B7" s="18" t="inlineStr">
        <is>
          <t>高教練</t>
        </is>
      </c>
      <c r="C7" s="19" t="n">
        <v>8</v>
      </c>
      <c r="D7" s="20" t="inlineStr">
        <is>
          <t>□</t>
        </is>
      </c>
      <c r="E7" s="20" t="inlineStr">
        <is>
          <t>□</t>
        </is>
      </c>
      <c r="F7" s="20" t="inlineStr">
        <is>
          <t>□</t>
        </is>
      </c>
      <c r="G7" s="20" t="inlineStr">
        <is>
          <t>□</t>
        </is>
      </c>
      <c r="H7" s="20" t="inlineStr">
        <is>
          <t>□</t>
        </is>
      </c>
      <c r="I7" s="20" t="inlineStr">
        <is>
          <t>□</t>
        </is>
      </c>
      <c r="J7" s="20" t="inlineStr">
        <is>
          <t>□</t>
        </is>
      </c>
      <c r="K7" s="20" t="inlineStr">
        <is>
          <t>□</t>
        </is>
      </c>
      <c r="L7" s="21">
        <f>COUNTIF(D7:K7,"✓")</f>
        <v/>
      </c>
      <c r="M7" s="22">
        <f>C7-L7</f>
        <v/>
      </c>
      <c r="N7" s="23">
        <f>IF(L7&gt;C7,"超出",IF(L7=C7,"齊",IF(L7=0,"未到","未齊")))</f>
        <v/>
      </c>
      <c r="O7" s="24" t="n"/>
    </row>
    <row r="8" ht="22" customHeight="1">
      <c r="A8" s="25" t="n">
        <v>2</v>
      </c>
      <c r="B8" s="26" t="inlineStr">
        <is>
          <t>莫朗森</t>
        </is>
      </c>
      <c r="C8" s="27" t="n">
        <v>2</v>
      </c>
      <c r="D8" s="20" t="inlineStr">
        <is>
          <t>□</t>
        </is>
      </c>
      <c r="E8" s="20" t="inlineStr">
        <is>
          <t>□</t>
        </is>
      </c>
      <c r="F8" s="28" t="inlineStr">
        <is>
          <t>–</t>
        </is>
      </c>
      <c r="G8" s="28" t="inlineStr">
        <is>
          <t>–</t>
        </is>
      </c>
      <c r="H8" s="28" t="inlineStr">
        <is>
          <t>–</t>
        </is>
      </c>
      <c r="I8" s="28" t="inlineStr">
        <is>
          <t>–</t>
        </is>
      </c>
      <c r="J8" s="28" t="inlineStr">
        <is>
          <t>–</t>
        </is>
      </c>
      <c r="K8" s="28" t="inlineStr">
        <is>
          <t>–</t>
        </is>
      </c>
      <c r="L8" s="29">
        <f>COUNTIF(D8:K8,"✓")</f>
        <v/>
      </c>
      <c r="M8" s="30">
        <f>C8-L8</f>
        <v/>
      </c>
      <c r="N8" s="31">
        <f>IF(L8&gt;C8,"超出",IF(L8=C8,"齊",IF(L8=0,"未到","未齊")))</f>
        <v/>
      </c>
      <c r="O8" s="32" t="n"/>
    </row>
    <row r="9" ht="22" customHeight="1">
      <c r="A9" s="17" t="n">
        <v>3</v>
      </c>
      <c r="B9" s="18" t="inlineStr">
        <is>
          <t>賴俊瑋</t>
        </is>
      </c>
      <c r="C9" s="19" t="n">
        <v>2</v>
      </c>
      <c r="D9" s="20" t="inlineStr">
        <is>
          <t>□</t>
        </is>
      </c>
      <c r="E9" s="20" t="inlineStr">
        <is>
          <t>□</t>
        </is>
      </c>
      <c r="F9" s="28" t="inlineStr">
        <is>
          <t>–</t>
        </is>
      </c>
      <c r="G9" s="28" t="inlineStr">
        <is>
          <t>–</t>
        </is>
      </c>
      <c r="H9" s="28" t="inlineStr">
        <is>
          <t>–</t>
        </is>
      </c>
      <c r="I9" s="28" t="inlineStr">
        <is>
          <t>–</t>
        </is>
      </c>
      <c r="J9" s="28" t="inlineStr">
        <is>
          <t>–</t>
        </is>
      </c>
      <c r="K9" s="28" t="inlineStr">
        <is>
          <t>–</t>
        </is>
      </c>
      <c r="L9" s="21">
        <f>COUNTIF(D9:K9,"✓")</f>
        <v/>
      </c>
      <c r="M9" s="22">
        <f>C9-L9</f>
        <v/>
      </c>
      <c r="N9" s="23">
        <f>IF(L9&gt;C9,"超出",IF(L9=C9,"齊",IF(L9=0,"未到","未齊")))</f>
        <v/>
      </c>
      <c r="O9" s="24" t="n"/>
    </row>
    <row r="10" ht="22" customHeight="1">
      <c r="A10" s="25" t="n">
        <v>4</v>
      </c>
      <c r="B10" s="26" t="inlineStr">
        <is>
          <t>王知淳</t>
        </is>
      </c>
      <c r="C10" s="27" t="n">
        <v>2</v>
      </c>
      <c r="D10" s="20" t="inlineStr">
        <is>
          <t>□</t>
        </is>
      </c>
      <c r="E10" s="20" t="inlineStr">
        <is>
          <t>□</t>
        </is>
      </c>
      <c r="F10" s="28" t="inlineStr">
        <is>
          <t>–</t>
        </is>
      </c>
      <c r="G10" s="28" t="inlineStr">
        <is>
          <t>–</t>
        </is>
      </c>
      <c r="H10" s="28" t="inlineStr">
        <is>
          <t>–</t>
        </is>
      </c>
      <c r="I10" s="28" t="inlineStr">
        <is>
          <t>–</t>
        </is>
      </c>
      <c r="J10" s="28" t="inlineStr">
        <is>
          <t>–</t>
        </is>
      </c>
      <c r="K10" s="28" t="inlineStr">
        <is>
          <t>–</t>
        </is>
      </c>
      <c r="L10" s="29">
        <f>COUNTIF(D10:K10,"✓")</f>
        <v/>
      </c>
      <c r="M10" s="30">
        <f>C10-L10</f>
        <v/>
      </c>
      <c r="N10" s="31">
        <f>IF(L10&gt;C10,"超出",IF(L10=C10,"齊",IF(L10=0,"未到","未齊")))</f>
        <v/>
      </c>
      <c r="O10" s="32" t="n"/>
    </row>
    <row r="11" ht="22" customHeight="1">
      <c r="A11" s="17" t="n">
        <v>5</v>
      </c>
      <c r="B11" s="18" t="inlineStr">
        <is>
          <t>陳彥生</t>
        </is>
      </c>
      <c r="C11" s="19" t="n">
        <v>3</v>
      </c>
      <c r="D11" s="20" t="inlineStr">
        <is>
          <t>□</t>
        </is>
      </c>
      <c r="E11" s="20" t="inlineStr">
        <is>
          <t>□</t>
        </is>
      </c>
      <c r="F11" s="20" t="inlineStr">
        <is>
          <t>□</t>
        </is>
      </c>
      <c r="G11" s="28" t="inlineStr">
        <is>
          <t>–</t>
        </is>
      </c>
      <c r="H11" s="28" t="inlineStr">
        <is>
          <t>–</t>
        </is>
      </c>
      <c r="I11" s="28" t="inlineStr">
        <is>
          <t>–</t>
        </is>
      </c>
      <c r="J11" s="28" t="inlineStr">
        <is>
          <t>–</t>
        </is>
      </c>
      <c r="K11" s="28" t="inlineStr">
        <is>
          <t>–</t>
        </is>
      </c>
      <c r="L11" s="21">
        <f>COUNTIF(D11:K11,"✓")</f>
        <v/>
      </c>
      <c r="M11" s="22">
        <f>C11-L11</f>
        <v/>
      </c>
      <c r="N11" s="23">
        <f>IF(L11&gt;C11,"超出",IF(L11=C11,"齊",IF(L11=0,"未到","未齊")))</f>
        <v/>
      </c>
      <c r="O11" s="24" t="n"/>
    </row>
    <row r="12" ht="22" customHeight="1">
      <c r="A12" s="25" t="n">
        <v>6</v>
      </c>
      <c r="B12" s="26" t="inlineStr">
        <is>
          <t>王光華</t>
        </is>
      </c>
      <c r="C12" s="27" t="n">
        <v>1</v>
      </c>
      <c r="D12" s="20" t="inlineStr">
        <is>
          <t>□</t>
        </is>
      </c>
      <c r="E12" s="28" t="inlineStr">
        <is>
          <t>–</t>
        </is>
      </c>
      <c r="F12" s="28" t="inlineStr">
        <is>
          <t>–</t>
        </is>
      </c>
      <c r="G12" s="28" t="inlineStr">
        <is>
          <t>–</t>
        </is>
      </c>
      <c r="H12" s="28" t="inlineStr">
        <is>
          <t>–</t>
        </is>
      </c>
      <c r="I12" s="28" t="inlineStr">
        <is>
          <t>–</t>
        </is>
      </c>
      <c r="J12" s="28" t="inlineStr">
        <is>
          <t>–</t>
        </is>
      </c>
      <c r="K12" s="28" t="inlineStr">
        <is>
          <t>–</t>
        </is>
      </c>
      <c r="L12" s="29">
        <f>COUNTIF(D12:K12,"✓")</f>
        <v/>
      </c>
      <c r="M12" s="30">
        <f>C12-L12</f>
        <v/>
      </c>
      <c r="N12" s="31">
        <f>IF(L12&gt;C12,"超出",IF(L12=C12,"齊",IF(L12=0,"未到","未齊")))</f>
        <v/>
      </c>
      <c r="O12" s="32" t="n"/>
    </row>
    <row r="13" ht="22" customHeight="1">
      <c r="A13" s="17" t="n">
        <v>7</v>
      </c>
      <c r="B13" s="18" t="inlineStr">
        <is>
          <t>簡珈晴</t>
        </is>
      </c>
      <c r="C13" s="19" t="n">
        <v>2</v>
      </c>
      <c r="D13" s="20" t="inlineStr">
        <is>
          <t>□</t>
        </is>
      </c>
      <c r="E13" s="20" t="inlineStr">
        <is>
          <t>□</t>
        </is>
      </c>
      <c r="F13" s="28" t="inlineStr">
        <is>
          <t>–</t>
        </is>
      </c>
      <c r="G13" s="28" t="inlineStr">
        <is>
          <t>–</t>
        </is>
      </c>
      <c r="H13" s="28" t="inlineStr">
        <is>
          <t>–</t>
        </is>
      </c>
      <c r="I13" s="28" t="inlineStr">
        <is>
          <t>–</t>
        </is>
      </c>
      <c r="J13" s="28" t="inlineStr">
        <is>
          <t>–</t>
        </is>
      </c>
      <c r="K13" s="28" t="inlineStr">
        <is>
          <t>–</t>
        </is>
      </c>
      <c r="L13" s="21">
        <f>COUNTIF(D13:K13,"✓")</f>
        <v/>
      </c>
      <c r="M13" s="22">
        <f>C13-L13</f>
        <v/>
      </c>
      <c r="N13" s="23">
        <f>IF(L13&gt;C13,"超出",IF(L13=C13,"齊",IF(L13=0,"未到","未齊")))</f>
        <v/>
      </c>
      <c r="O13" s="24" t="n"/>
    </row>
    <row r="14" ht="22" customHeight="1">
      <c r="A14" s="25" t="n">
        <v>8</v>
      </c>
      <c r="B14" s="26" t="inlineStr">
        <is>
          <t>吳承祐</t>
        </is>
      </c>
      <c r="C14" s="27" t="n">
        <v>1</v>
      </c>
      <c r="D14" s="20" t="inlineStr">
        <is>
          <t>□</t>
        </is>
      </c>
      <c r="E14" s="28" t="inlineStr">
        <is>
          <t>–</t>
        </is>
      </c>
      <c r="F14" s="28" t="inlineStr">
        <is>
          <t>–</t>
        </is>
      </c>
      <c r="G14" s="28" t="inlineStr">
        <is>
          <t>–</t>
        </is>
      </c>
      <c r="H14" s="28" t="inlineStr">
        <is>
          <t>–</t>
        </is>
      </c>
      <c r="I14" s="28" t="inlineStr">
        <is>
          <t>–</t>
        </is>
      </c>
      <c r="J14" s="28" t="inlineStr">
        <is>
          <t>–</t>
        </is>
      </c>
      <c r="K14" s="28" t="inlineStr">
        <is>
          <t>–</t>
        </is>
      </c>
      <c r="L14" s="29">
        <f>COUNTIF(D14:K14,"✓")</f>
        <v/>
      </c>
      <c r="M14" s="30">
        <f>C14-L14</f>
        <v/>
      </c>
      <c r="N14" s="31">
        <f>IF(L14&gt;C14,"超出",IF(L14=C14,"齊",IF(L14=0,"未到","未齊")))</f>
        <v/>
      </c>
      <c r="O14" s="32" t="n"/>
    </row>
    <row r="15" ht="22" customHeight="1">
      <c r="A15" s="17" t="n">
        <v>9</v>
      </c>
      <c r="B15" s="18" t="inlineStr">
        <is>
          <t>吳柏皜</t>
        </is>
      </c>
      <c r="C15" s="19" t="n">
        <v>2</v>
      </c>
      <c r="D15" s="20" t="inlineStr">
        <is>
          <t>□</t>
        </is>
      </c>
      <c r="E15" s="20" t="inlineStr">
        <is>
          <t>□</t>
        </is>
      </c>
      <c r="F15" s="28" t="inlineStr">
        <is>
          <t>–</t>
        </is>
      </c>
      <c r="G15" s="28" t="inlineStr">
        <is>
          <t>–</t>
        </is>
      </c>
      <c r="H15" s="28" t="inlineStr">
        <is>
          <t>–</t>
        </is>
      </c>
      <c r="I15" s="28" t="inlineStr">
        <is>
          <t>–</t>
        </is>
      </c>
      <c r="J15" s="28" t="inlineStr">
        <is>
          <t>–</t>
        </is>
      </c>
      <c r="K15" s="28" t="inlineStr">
        <is>
          <t>–</t>
        </is>
      </c>
      <c r="L15" s="21">
        <f>COUNTIF(D15:K15,"✓")</f>
        <v/>
      </c>
      <c r="M15" s="22">
        <f>C15-L15</f>
        <v/>
      </c>
      <c r="N15" s="23">
        <f>IF(L15&gt;C15,"超出",IF(L15=C15,"齊",IF(L15=0,"未到","未齊")))</f>
        <v/>
      </c>
      <c r="O15" s="24" t="n"/>
    </row>
    <row r="16" ht="22" customHeight="1">
      <c r="A16" s="25" t="n">
        <v>10</v>
      </c>
      <c r="B16" s="26" t="inlineStr">
        <is>
          <t>許詩雅</t>
        </is>
      </c>
      <c r="C16" s="27" t="n">
        <v>2</v>
      </c>
      <c r="D16" s="20" t="inlineStr">
        <is>
          <t>□</t>
        </is>
      </c>
      <c r="E16" s="20" t="inlineStr">
        <is>
          <t>□</t>
        </is>
      </c>
      <c r="F16" s="28" t="inlineStr">
        <is>
          <t>–</t>
        </is>
      </c>
      <c r="G16" s="28" t="inlineStr">
        <is>
          <t>–</t>
        </is>
      </c>
      <c r="H16" s="28" t="inlineStr">
        <is>
          <t>–</t>
        </is>
      </c>
      <c r="I16" s="28" t="inlineStr">
        <is>
          <t>–</t>
        </is>
      </c>
      <c r="J16" s="28" t="inlineStr">
        <is>
          <t>–</t>
        </is>
      </c>
      <c r="K16" s="28" t="inlineStr">
        <is>
          <t>–</t>
        </is>
      </c>
      <c r="L16" s="29">
        <f>COUNTIF(D16:K16,"✓")</f>
        <v/>
      </c>
      <c r="M16" s="30">
        <f>C16-L16</f>
        <v/>
      </c>
      <c r="N16" s="31">
        <f>IF(L16&gt;C16,"超出",IF(L16=C16,"齊",IF(L16=0,"未到","未齊")))</f>
        <v/>
      </c>
      <c r="O16" s="32" t="n"/>
    </row>
    <row r="17" ht="22" customHeight="1">
      <c r="A17" s="17" t="n">
        <v>11</v>
      </c>
      <c r="B17" s="18" t="inlineStr">
        <is>
          <t>李俊謙家長</t>
        </is>
      </c>
      <c r="C17" s="19" t="n">
        <v>1</v>
      </c>
      <c r="D17" s="20" t="inlineStr">
        <is>
          <t>□</t>
        </is>
      </c>
      <c r="E17" s="28" t="inlineStr">
        <is>
          <t>–</t>
        </is>
      </c>
      <c r="F17" s="28" t="inlineStr">
        <is>
          <t>–</t>
        </is>
      </c>
      <c r="G17" s="28" t="inlineStr">
        <is>
          <t>–</t>
        </is>
      </c>
      <c r="H17" s="28" t="inlineStr">
        <is>
          <t>–</t>
        </is>
      </c>
      <c r="I17" s="28" t="inlineStr">
        <is>
          <t>–</t>
        </is>
      </c>
      <c r="J17" s="28" t="inlineStr">
        <is>
          <t>–</t>
        </is>
      </c>
      <c r="K17" s="28" t="inlineStr">
        <is>
          <t>–</t>
        </is>
      </c>
      <c r="L17" s="21">
        <f>COUNTIF(D17:K17,"✓")</f>
        <v/>
      </c>
      <c r="M17" s="22">
        <f>C17-L17</f>
        <v/>
      </c>
      <c r="N17" s="23">
        <f>IF(L17&gt;C17,"超出",IF(L17=C17,"齊",IF(L17=0,"未到","未齊")))</f>
        <v/>
      </c>
      <c r="O17" s="24" t="n"/>
    </row>
    <row r="18" ht="22" customHeight="1">
      <c r="A18" s="25" t="n">
        <v>12</v>
      </c>
      <c r="B18" s="26" t="inlineStr">
        <is>
          <t>陳展芹家長</t>
        </is>
      </c>
      <c r="C18" s="27" t="n">
        <v>1</v>
      </c>
      <c r="D18" s="20" t="inlineStr">
        <is>
          <t>□</t>
        </is>
      </c>
      <c r="E18" s="28" t="inlineStr">
        <is>
          <t>–</t>
        </is>
      </c>
      <c r="F18" s="28" t="inlineStr">
        <is>
          <t>–</t>
        </is>
      </c>
      <c r="G18" s="28" t="inlineStr">
        <is>
          <t>–</t>
        </is>
      </c>
      <c r="H18" s="28" t="inlineStr">
        <is>
          <t>–</t>
        </is>
      </c>
      <c r="I18" s="28" t="inlineStr">
        <is>
          <t>–</t>
        </is>
      </c>
      <c r="J18" s="28" t="inlineStr">
        <is>
          <t>–</t>
        </is>
      </c>
      <c r="K18" s="28" t="inlineStr">
        <is>
          <t>–</t>
        </is>
      </c>
      <c r="L18" s="29">
        <f>COUNTIF(D18:K18,"✓")</f>
        <v/>
      </c>
      <c r="M18" s="30">
        <f>C18-L18</f>
        <v/>
      </c>
      <c r="N18" s="31">
        <f>IF(L18&gt;C18,"超出",IF(L18=C18,"齊",IF(L18=0,"未到","未齊")))</f>
        <v/>
      </c>
      <c r="O18" s="32" t="n"/>
    </row>
    <row r="19" ht="22" customHeight="1">
      <c r="A19" s="17" t="n">
        <v>13</v>
      </c>
      <c r="B19" s="18" t="inlineStr">
        <is>
          <t>黃思瀚</t>
        </is>
      </c>
      <c r="C19" s="19" t="n">
        <v>3</v>
      </c>
      <c r="D19" s="20" t="inlineStr">
        <is>
          <t>□</t>
        </is>
      </c>
      <c r="E19" s="20" t="inlineStr">
        <is>
          <t>□</t>
        </is>
      </c>
      <c r="F19" s="20" t="inlineStr">
        <is>
          <t>□</t>
        </is>
      </c>
      <c r="G19" s="28" t="inlineStr">
        <is>
          <t>–</t>
        </is>
      </c>
      <c r="H19" s="28" t="inlineStr">
        <is>
          <t>–</t>
        </is>
      </c>
      <c r="I19" s="28" t="inlineStr">
        <is>
          <t>–</t>
        </is>
      </c>
      <c r="J19" s="28" t="inlineStr">
        <is>
          <t>–</t>
        </is>
      </c>
      <c r="K19" s="28" t="inlineStr">
        <is>
          <t>–</t>
        </is>
      </c>
      <c r="L19" s="21">
        <f>COUNTIF(D19:K19,"✓")</f>
        <v/>
      </c>
      <c r="M19" s="22">
        <f>C19-L19</f>
        <v/>
      </c>
      <c r="N19" s="23">
        <f>IF(L19&gt;C19,"超出",IF(L19=C19,"齊",IF(L19=0,"未到","未齊")))</f>
        <v/>
      </c>
      <c r="O19" s="24" t="n"/>
    </row>
    <row r="20" ht="22" customHeight="1">
      <c r="A20" s="25" t="n">
        <v>14</v>
      </c>
      <c r="B20" s="26" t="inlineStr">
        <is>
          <t>呂卓衡</t>
        </is>
      </c>
      <c r="C20" s="27" t="n">
        <v>3</v>
      </c>
      <c r="D20" s="20" t="inlineStr">
        <is>
          <t>□</t>
        </is>
      </c>
      <c r="E20" s="20" t="inlineStr">
        <is>
          <t>□</t>
        </is>
      </c>
      <c r="F20" s="20" t="inlineStr">
        <is>
          <t>□</t>
        </is>
      </c>
      <c r="G20" s="28" t="inlineStr">
        <is>
          <t>–</t>
        </is>
      </c>
      <c r="H20" s="28" t="inlineStr">
        <is>
          <t>–</t>
        </is>
      </c>
      <c r="I20" s="28" t="inlineStr">
        <is>
          <t>–</t>
        </is>
      </c>
      <c r="J20" s="28" t="inlineStr">
        <is>
          <t>–</t>
        </is>
      </c>
      <c r="K20" s="28" t="inlineStr">
        <is>
          <t>–</t>
        </is>
      </c>
      <c r="L20" s="29">
        <f>COUNTIF(D20:K20,"✓")</f>
        <v/>
      </c>
      <c r="M20" s="30">
        <f>C20-L20</f>
        <v/>
      </c>
      <c r="N20" s="31">
        <f>IF(L20&gt;C20,"超出",IF(L20=C20,"齊",IF(L20=0,"未到","未齊")))</f>
        <v/>
      </c>
      <c r="O20" s="32" t="n"/>
    </row>
    <row r="21" ht="22" customHeight="1">
      <c r="A21" s="17" t="n">
        <v>15</v>
      </c>
      <c r="B21" s="18" t="inlineStr">
        <is>
          <t>潘芊庭</t>
        </is>
      </c>
      <c r="C21" s="19" t="n">
        <v>2</v>
      </c>
      <c r="D21" s="20" t="inlineStr">
        <is>
          <t>□</t>
        </is>
      </c>
      <c r="E21" s="20" t="inlineStr">
        <is>
          <t>□</t>
        </is>
      </c>
      <c r="F21" s="28" t="inlineStr">
        <is>
          <t>–</t>
        </is>
      </c>
      <c r="G21" s="28" t="inlineStr">
        <is>
          <t>–</t>
        </is>
      </c>
      <c r="H21" s="28" t="inlineStr">
        <is>
          <t>–</t>
        </is>
      </c>
      <c r="I21" s="28" t="inlineStr">
        <is>
          <t>–</t>
        </is>
      </c>
      <c r="J21" s="28" t="inlineStr">
        <is>
          <t>–</t>
        </is>
      </c>
      <c r="K21" s="28" t="inlineStr">
        <is>
          <t>–</t>
        </is>
      </c>
      <c r="L21" s="21">
        <f>COUNTIF(D21:K21,"✓")</f>
        <v/>
      </c>
      <c r="M21" s="22">
        <f>C21-L21</f>
        <v/>
      </c>
      <c r="N21" s="23">
        <f>IF(L21&gt;C21,"超出",IF(L21=C21,"齊",IF(L21=0,"未到","未齊")))</f>
        <v/>
      </c>
      <c r="O21" s="24" t="n"/>
    </row>
    <row r="22" ht="22" customHeight="1">
      <c r="A22" s="25" t="n">
        <v>16</v>
      </c>
      <c r="B22" s="26" t="inlineStr">
        <is>
          <t>唐奕忻</t>
        </is>
      </c>
      <c r="C22" s="27" t="n">
        <v>2</v>
      </c>
      <c r="D22" s="20" t="inlineStr">
        <is>
          <t>□</t>
        </is>
      </c>
      <c r="E22" s="20" t="inlineStr">
        <is>
          <t>□</t>
        </is>
      </c>
      <c r="F22" s="28" t="inlineStr">
        <is>
          <t>–</t>
        </is>
      </c>
      <c r="G22" s="28" t="inlineStr">
        <is>
          <t>–</t>
        </is>
      </c>
      <c r="H22" s="28" t="inlineStr">
        <is>
          <t>–</t>
        </is>
      </c>
      <c r="I22" s="28" t="inlineStr">
        <is>
          <t>–</t>
        </is>
      </c>
      <c r="J22" s="28" t="inlineStr">
        <is>
          <t>–</t>
        </is>
      </c>
      <c r="K22" s="28" t="inlineStr">
        <is>
          <t>–</t>
        </is>
      </c>
      <c r="L22" s="29">
        <f>COUNTIF(D22:K22,"✓")</f>
        <v/>
      </c>
      <c r="M22" s="30">
        <f>C22-L22</f>
        <v/>
      </c>
      <c r="N22" s="31">
        <f>IF(L22&gt;C22,"超出",IF(L22=C22,"齊",IF(L22=0,"未到","未齊")))</f>
        <v/>
      </c>
      <c r="O22" s="32" t="n"/>
    </row>
    <row r="23" ht="22" customHeight="1">
      <c r="A23" s="17" t="n">
        <v>17</v>
      </c>
      <c r="B23" s="18" t="inlineStr">
        <is>
          <t>洪嘉駿</t>
        </is>
      </c>
      <c r="C23" s="19" t="n">
        <v>5</v>
      </c>
      <c r="D23" s="20" t="inlineStr">
        <is>
          <t>□</t>
        </is>
      </c>
      <c r="E23" s="20" t="inlineStr">
        <is>
          <t>□</t>
        </is>
      </c>
      <c r="F23" s="20" t="inlineStr">
        <is>
          <t>□</t>
        </is>
      </c>
      <c r="G23" s="20" t="inlineStr">
        <is>
          <t>□</t>
        </is>
      </c>
      <c r="H23" s="20" t="inlineStr">
        <is>
          <t>□</t>
        </is>
      </c>
      <c r="I23" s="28" t="inlineStr">
        <is>
          <t>–</t>
        </is>
      </c>
      <c r="J23" s="28" t="inlineStr">
        <is>
          <t>–</t>
        </is>
      </c>
      <c r="K23" s="28" t="inlineStr">
        <is>
          <t>–</t>
        </is>
      </c>
      <c r="L23" s="21">
        <f>COUNTIF(D23:K23,"✓")</f>
        <v/>
      </c>
      <c r="M23" s="22">
        <f>C23-L23</f>
        <v/>
      </c>
      <c r="N23" s="23">
        <f>IF(L23&gt;C23,"超出",IF(L23=C23,"齊",IF(L23=0,"未到","未齊")))</f>
        <v/>
      </c>
      <c r="O23" s="24" t="n"/>
    </row>
    <row r="24" ht="22" customHeight="1">
      <c r="A24" s="25" t="n">
        <v>18</v>
      </c>
      <c r="B24" s="26" t="inlineStr">
        <is>
          <t>李志斌</t>
        </is>
      </c>
      <c r="C24" s="27" t="n">
        <v>3</v>
      </c>
      <c r="D24" s="20" t="inlineStr">
        <is>
          <t>□</t>
        </is>
      </c>
      <c r="E24" s="20" t="inlineStr">
        <is>
          <t>□</t>
        </is>
      </c>
      <c r="F24" s="20" t="inlineStr">
        <is>
          <t>□</t>
        </is>
      </c>
      <c r="G24" s="28" t="inlineStr">
        <is>
          <t>–</t>
        </is>
      </c>
      <c r="H24" s="28" t="inlineStr">
        <is>
          <t>–</t>
        </is>
      </c>
      <c r="I24" s="28" t="inlineStr">
        <is>
          <t>–</t>
        </is>
      </c>
      <c r="J24" s="28" t="inlineStr">
        <is>
          <t>–</t>
        </is>
      </c>
      <c r="K24" s="28" t="inlineStr">
        <is>
          <t>–</t>
        </is>
      </c>
      <c r="L24" s="29">
        <f>COUNTIF(D24:K24,"✓")</f>
        <v/>
      </c>
      <c r="M24" s="30">
        <f>C24-L24</f>
        <v/>
      </c>
      <c r="N24" s="31">
        <f>IF(L24&gt;C24,"超出",IF(L24=C24,"齊",IF(L24=0,"未到","未齊")))</f>
        <v/>
      </c>
      <c r="O24" s="32" t="n"/>
    </row>
    <row r="25" ht="22" customHeight="1">
      <c r="A25" s="17" t="n">
        <v>19</v>
      </c>
      <c r="B25" s="18" t="inlineStr">
        <is>
          <t>葉城佑</t>
        </is>
      </c>
      <c r="C25" s="19" t="n">
        <v>2</v>
      </c>
      <c r="D25" s="20" t="inlineStr">
        <is>
          <t>□</t>
        </is>
      </c>
      <c r="E25" s="20" t="inlineStr">
        <is>
          <t>□</t>
        </is>
      </c>
      <c r="F25" s="28" t="inlineStr">
        <is>
          <t>–</t>
        </is>
      </c>
      <c r="G25" s="28" t="inlineStr">
        <is>
          <t>–</t>
        </is>
      </c>
      <c r="H25" s="28" t="inlineStr">
        <is>
          <t>–</t>
        </is>
      </c>
      <c r="I25" s="28" t="inlineStr">
        <is>
          <t>–</t>
        </is>
      </c>
      <c r="J25" s="28" t="inlineStr">
        <is>
          <t>–</t>
        </is>
      </c>
      <c r="K25" s="28" t="inlineStr">
        <is>
          <t>–</t>
        </is>
      </c>
      <c r="L25" s="21">
        <f>COUNTIF(D25:K25,"✓")</f>
        <v/>
      </c>
      <c r="M25" s="22">
        <f>C25-L25</f>
        <v/>
      </c>
      <c r="N25" s="23">
        <f>IF(L25&gt;C25,"超出",IF(L25=C25,"齊",IF(L25=0,"未到","未齊")))</f>
        <v/>
      </c>
      <c r="O25" s="24" t="n"/>
    </row>
    <row r="26" ht="22" customHeight="1">
      <c r="A26" s="25" t="n">
        <v>20</v>
      </c>
      <c r="B26" s="26" t="inlineStr">
        <is>
          <t>湯sir</t>
        </is>
      </c>
      <c r="C26" s="27" t="n">
        <v>3</v>
      </c>
      <c r="D26" s="20" t="inlineStr">
        <is>
          <t>□</t>
        </is>
      </c>
      <c r="E26" s="20" t="inlineStr">
        <is>
          <t>□</t>
        </is>
      </c>
      <c r="F26" s="20" t="inlineStr">
        <is>
          <t>□</t>
        </is>
      </c>
      <c r="G26" s="28" t="inlineStr">
        <is>
          <t>–</t>
        </is>
      </c>
      <c r="H26" s="28" t="inlineStr">
        <is>
          <t>–</t>
        </is>
      </c>
      <c r="I26" s="28" t="inlineStr">
        <is>
          <t>–</t>
        </is>
      </c>
      <c r="J26" s="28" t="inlineStr">
        <is>
          <t>–</t>
        </is>
      </c>
      <c r="K26" s="28" t="inlineStr">
        <is>
          <t>–</t>
        </is>
      </c>
      <c r="L26" s="29">
        <f>COUNTIF(D26:K26,"✓")</f>
        <v/>
      </c>
      <c r="M26" s="30">
        <f>C26-L26</f>
        <v/>
      </c>
      <c r="N26" s="31">
        <f>IF(L26&gt;C26,"超出",IF(L26=C26,"齊",IF(L26=0,"未到","未齊")))</f>
        <v/>
      </c>
      <c r="O26" s="32" t="n"/>
    </row>
    <row r="27" ht="22" customHeight="1">
      <c r="A27" s="17" t="n">
        <v>21</v>
      </c>
      <c r="B27" s="18" t="inlineStr">
        <is>
          <t>祈銘勛</t>
        </is>
      </c>
      <c r="C27" s="19" t="n">
        <v>1</v>
      </c>
      <c r="D27" s="20" t="inlineStr">
        <is>
          <t>□</t>
        </is>
      </c>
      <c r="E27" s="28" t="inlineStr">
        <is>
          <t>–</t>
        </is>
      </c>
      <c r="F27" s="28" t="inlineStr">
        <is>
          <t>–</t>
        </is>
      </c>
      <c r="G27" s="28" t="inlineStr">
        <is>
          <t>–</t>
        </is>
      </c>
      <c r="H27" s="28" t="inlineStr">
        <is>
          <t>–</t>
        </is>
      </c>
      <c r="I27" s="28" t="inlineStr">
        <is>
          <t>–</t>
        </is>
      </c>
      <c r="J27" s="28" t="inlineStr">
        <is>
          <t>–</t>
        </is>
      </c>
      <c r="K27" s="28" t="inlineStr">
        <is>
          <t>–</t>
        </is>
      </c>
      <c r="L27" s="21">
        <f>COUNTIF(D27:K27,"✓")</f>
        <v/>
      </c>
      <c r="M27" s="22">
        <f>C27-L27</f>
        <v/>
      </c>
      <c r="N27" s="23">
        <f>IF(L27&gt;C27,"超出",IF(L27=C27,"齊",IF(L27=0,"未到","未齊")))</f>
        <v/>
      </c>
      <c r="O27" s="24" t="n"/>
    </row>
    <row r="28" ht="24" customHeight="1">
      <c r="A28" s="33" t="inlineStr">
        <is>
          <t>合計</t>
        </is>
      </c>
      <c r="B28" s="33" t="n"/>
      <c r="C28" s="34">
        <f>SUM(C7:C27)</f>
        <v/>
      </c>
      <c r="D28" s="33" t="n"/>
      <c r="E28" s="33" t="n"/>
      <c r="F28" s="33" t="n"/>
      <c r="G28" s="33" t="n"/>
      <c r="H28" s="33" t="n"/>
      <c r="I28" s="33" t="n"/>
      <c r="J28" s="33" t="n"/>
      <c r="K28" s="33" t="n"/>
      <c r="L28" s="34">
        <f>SUM(L7:L27)</f>
        <v/>
      </c>
      <c r="M28" s="34">
        <f>SUM(M7:M27)</f>
        <v/>
      </c>
      <c r="N28" s="33">
        <f>COUNTIF(N7:N27,"齊")&amp;" 組齊"</f>
        <v/>
      </c>
      <c r="O28" s="33">
        <f>IF(C28=51,"核對正確 51 位","人數不符，請檢查")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9">
    <mergeCell ref="B3:C3"/>
    <mergeCell ref="J4:L4"/>
    <mergeCell ref="N3:O3"/>
    <mergeCell ref="A2:O2"/>
    <mergeCell ref="A5:C5"/>
    <mergeCell ref="G5:I5"/>
    <mergeCell ref="D4:F4"/>
    <mergeCell ref="G4:I4"/>
    <mergeCell ref="A4:C4"/>
    <mergeCell ref="I3:J3"/>
    <mergeCell ref="D5:F5"/>
    <mergeCell ref="M4:O4"/>
    <mergeCell ref="D3:E3"/>
    <mergeCell ref="J5:L5"/>
    <mergeCell ref="M5:O5"/>
    <mergeCell ref="A28:B28"/>
    <mergeCell ref="A1:O1"/>
    <mergeCell ref="F3:H3"/>
    <mergeCell ref="K3:L3"/>
  </mergeCells>
  <conditionalFormatting sqref="N7:N27">
    <cfRule type="cellIs" priority="1" operator="equal" dxfId="0">
      <formula>"齊"</formula>
    </cfRule>
    <cfRule type="cellIs" priority="2" operator="equal" dxfId="1">
      <formula>"未齊"</formula>
    </cfRule>
    <cfRule type="cellIs" priority="3" operator="equal" dxfId="2">
      <formula>"超出"</formula>
    </cfRule>
  </conditionalFormatting>
  <conditionalFormatting sqref="D7:K27">
    <cfRule type="cellIs" priority="4" operator="equal" dxfId="3">
      <formula>"✓"</formula>
    </cfRule>
  </conditionalFormatting>
  <conditionalFormatting sqref="A7:C27">
    <cfRule type="expression" priority="5" dxfId="4" stopIfTrue="1">
      <formula>$N7="超出"</formula>
    </cfRule>
    <cfRule type="expression" priority="6" dxfId="5" stopIfTrue="1">
      <formula>$N7="齊"</formula>
    </cfRule>
    <cfRule type="expression" priority="7" dxfId="6" stopIfTrue="1">
      <formula>$N7="未齊"</formula>
    </cfRule>
  </conditionalFormatting>
  <dataValidations count="1">
    <dataValidation sqref="D7:K7 D8:E8 D9:E9 D10:E10 D11:F11 D12 D13:E13 D14 D15:E15 D16:E16 D17 D18 D19:F19 D20:F20 D21:E21 D22:E22 D23:H23 D24:F24 D25:E25 D26:F26 D27" showDropDown="0" showInputMessage="0" showErrorMessage="1" allowBlank="0" errorTitle="點名" error="請選 ✓ 或 □" type="list" errorStyle="stop">
      <formula1>=點名選項</formula1>
    </dataValidation>
  </dataValidations>
  <printOptions horizontalCentered="1"/>
  <pageMargins left="0.4" right="0.4" top="0.35" bottom="0.4" header="0.12" footer="0.16"/>
  <pageSetup orientation="landscape" paperSize="9" scale="100" fitToHeight="1" fitToWidth="1"/>
  <headerFooter>
    <oddHeader/>
    <oddFooter>&amp;L&amp;"Microsoft JhengHei"&amp;9 黃格剔 ✓    灰格不用填&amp;C&amp;"Microsoft JhengHei"&amp;9 船河樂2026 上船點名表&amp;R&amp;"Microsoft JhengHei"&amp;9 共 51 位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B7950B"/>
    <outlinePr summaryBelow="1" summaryRight="1"/>
    <pageSetUpPr fitToPage="1"/>
  </sheetPr>
  <dimension ref="A1:F16"/>
  <sheetViews>
    <sheetView showGridLines="0" zoomScale="13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8" customWidth="1" min="5" max="5"/>
    <col width="28" customWidth="1" min="6" max="6"/>
  </cols>
  <sheetData>
    <row r="1" ht="32" customHeight="1">
      <c r="A1" s="35" t="inlineStr">
        <is>
          <t>臨時加人</t>
        </is>
      </c>
      <c r="B1" s="35" t="n"/>
      <c r="C1" s="35" t="n"/>
      <c r="D1" s="35" t="n"/>
      <c r="E1" s="35" t="n"/>
      <c r="F1" s="35" t="n"/>
    </row>
    <row r="2" ht="32" customHeight="1">
      <c r="A2" s="36" t="inlineStr">
        <is>
          <t>名單以外的人寫在這裡，另行點算。不要改「點名表」的人數，以免 51 位對不上。</t>
        </is>
      </c>
      <c r="B2" s="36" t="n"/>
      <c r="C2" s="36" t="n"/>
      <c r="D2" s="36" t="n"/>
      <c r="E2" s="36" t="n"/>
      <c r="F2" s="36" t="n"/>
    </row>
    <row r="3" ht="22" customHeight="1">
      <c r="A3" s="15" t="inlineStr">
        <is>
          <t>序</t>
        </is>
      </c>
      <c r="B3" s="15" t="inlineStr">
        <is>
          <t>姓名</t>
        </is>
      </c>
      <c r="C3" s="15" t="inlineStr">
        <is>
          <t>人數</t>
        </is>
      </c>
      <c r="D3" s="15" t="inlineStr">
        <is>
          <t>已到</t>
        </is>
      </c>
      <c r="E3" s="15" t="inlineStr">
        <is>
          <t>跟哪一組</t>
        </is>
      </c>
      <c r="F3" s="15" t="inlineStr">
        <is>
          <t>備註</t>
        </is>
      </c>
    </row>
    <row r="4" ht="22" customHeight="1">
      <c r="A4" s="17" t="n">
        <v>1</v>
      </c>
      <c r="B4" s="37" t="n"/>
      <c r="C4" s="38" t="n"/>
      <c r="D4" s="39" t="n"/>
      <c r="E4" s="37" t="n"/>
      <c r="F4" s="37" t="n"/>
    </row>
    <row r="5" ht="22" customHeight="1">
      <c r="A5" s="25" t="n">
        <v>2</v>
      </c>
      <c r="B5" s="40" t="n"/>
      <c r="C5" s="41" t="n"/>
      <c r="D5" s="42" t="n"/>
      <c r="E5" s="40" t="n"/>
      <c r="F5" s="40" t="n"/>
    </row>
    <row r="6" ht="22" customHeight="1">
      <c r="A6" s="17" t="n">
        <v>3</v>
      </c>
      <c r="B6" s="37" t="n"/>
      <c r="C6" s="38" t="n"/>
      <c r="D6" s="39" t="n"/>
      <c r="E6" s="37" t="n"/>
      <c r="F6" s="37" t="n"/>
    </row>
    <row r="7" ht="22" customHeight="1">
      <c r="A7" s="25" t="n">
        <v>4</v>
      </c>
      <c r="B7" s="40" t="n"/>
      <c r="C7" s="41" t="n"/>
      <c r="D7" s="42" t="n"/>
      <c r="E7" s="40" t="n"/>
      <c r="F7" s="40" t="n"/>
    </row>
    <row r="8" ht="22" customHeight="1">
      <c r="A8" s="17" t="n">
        <v>5</v>
      </c>
      <c r="B8" s="37" t="n"/>
      <c r="C8" s="38" t="n"/>
      <c r="D8" s="39" t="n"/>
      <c r="E8" s="37" t="n"/>
      <c r="F8" s="37" t="n"/>
    </row>
    <row r="9" ht="22" customHeight="1">
      <c r="A9" s="25" t="n">
        <v>6</v>
      </c>
      <c r="B9" s="40" t="n"/>
      <c r="C9" s="41" t="n"/>
      <c r="D9" s="42" t="n"/>
      <c r="E9" s="40" t="n"/>
      <c r="F9" s="40" t="n"/>
    </row>
    <row r="10" ht="22" customHeight="1">
      <c r="A10" s="17" t="n">
        <v>7</v>
      </c>
      <c r="B10" s="37" t="n"/>
      <c r="C10" s="38" t="n"/>
      <c r="D10" s="39" t="n"/>
      <c r="E10" s="37" t="n"/>
      <c r="F10" s="37" t="n"/>
    </row>
    <row r="11" ht="22" customHeight="1">
      <c r="A11" s="25" t="n">
        <v>8</v>
      </c>
      <c r="B11" s="40" t="n"/>
      <c r="C11" s="41" t="n"/>
      <c r="D11" s="42" t="n"/>
      <c r="E11" s="40" t="n"/>
      <c r="F11" s="40" t="n"/>
    </row>
    <row r="12" ht="22" customHeight="1">
      <c r="A12" s="17" t="n">
        <v>9</v>
      </c>
      <c r="B12" s="37" t="n"/>
      <c r="C12" s="38" t="n"/>
      <c r="D12" s="39" t="n"/>
      <c r="E12" s="37" t="n"/>
      <c r="F12" s="37" t="n"/>
    </row>
    <row r="13" ht="22" customHeight="1">
      <c r="A13" s="25" t="n">
        <v>10</v>
      </c>
      <c r="B13" s="40" t="n"/>
      <c r="C13" s="41" t="n"/>
      <c r="D13" s="42" t="n"/>
      <c r="E13" s="40" t="n"/>
      <c r="F13" s="40" t="n"/>
    </row>
    <row r="14" ht="22" customHeight="1">
      <c r="A14" s="17" t="n">
        <v>11</v>
      </c>
      <c r="B14" s="37" t="n"/>
      <c r="C14" s="38" t="n"/>
      <c r="D14" s="39" t="n"/>
      <c r="E14" s="37" t="n"/>
      <c r="F14" s="37" t="n"/>
    </row>
    <row r="15" ht="22" customHeight="1">
      <c r="A15" s="25" t="n">
        <v>12</v>
      </c>
      <c r="B15" s="40" t="n"/>
      <c r="C15" s="41" t="n"/>
      <c r="D15" s="42" t="n"/>
      <c r="E15" s="40" t="n"/>
      <c r="F15" s="40" t="n"/>
    </row>
    <row r="16" ht="24" customHeight="1">
      <c r="A16" s="33" t="inlineStr">
        <is>
          <t>臨時合計</t>
        </is>
      </c>
      <c r="B16" s="33" t="n"/>
      <c r="C16" s="34">
        <f>SUM(C4:C15)</f>
        <v/>
      </c>
      <c r="D16" s="34">
        <f>SUM(D4:D15)</f>
        <v/>
      </c>
      <c r="E16" s="33" t="n"/>
      <c r="F16" s="15" t="inlineStr">
        <is>
          <t>不計入 51 位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3">
    <mergeCell ref="A2:F2"/>
    <mergeCell ref="A16:B16"/>
    <mergeCell ref="A1:F1"/>
  </mergeCells>
  <dataValidations count="1">
    <dataValidation sqref="C4:D15" showDropDown="0" showInputMessage="0" showErrorMessage="1" allowBlank="1" errorTitle="人數" error="請填 0 或以上的整數" type="whole" errorStyle="stop" operator="greaterThanOrEqual">
      <formula1>0</formula1>
    </dataValidation>
  </dataValidations>
  <printOptions horizontalCentered="1"/>
  <pageMargins left="0.6" right="0.6" top="0.5" bottom="0.5" header="0.2" footer="0.2"/>
  <pageSetup orientation="portrait" paperSize="9" fitToHeight="1" fitToWidth="1"/>
  <headerFooter>
    <oddHeader/>
    <oddFooter>&amp;C&amp;"Microsoft JhengHei"&amp;9 船河樂2026  臨時加人（不計入 51 位）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✓</t>
        </is>
      </c>
    </row>
    <row r="2">
      <c r="A2" t="inlineStr">
        <is>
          <t>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船河樂2026 上船點名表</dc:title>
  <dc:subject>21 組、51 位</dc:subject>
  <dcterms:created xsi:type="dcterms:W3CDTF">2026-09-30T06:31:11Z</dcterms:created>
  <dcterms:modified xsi:type="dcterms:W3CDTF">2026-09-30T06:31:11Z</dcterms:modified>
  <cp:category>點名</cp:category>
</cp:coreProperties>
</file>